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Koszt wytworzenia\January\"/>
    </mc:Choice>
  </mc:AlternateContent>
  <xr:revisionPtr revIDLastSave="0" documentId="8_{E93C75B3-C39C-4C49-AF00-B913617D5900}" xr6:coauthVersionLast="47" xr6:coauthVersionMax="47" xr10:uidLastSave="{00000000-0000-0000-0000-000000000000}"/>
  <bookViews>
    <workbookView xWindow="-28920" yWindow="1530" windowWidth="29040" windowHeight="15840" xr2:uid="{00000000-000D-0000-FFFF-FFFF00000000}"/>
  </bookViews>
  <sheets>
    <sheet name="2000006917 000001085309 R" sheetId="1" r:id="rId1"/>
  </sheets>
  <definedNames>
    <definedName name="_xlnm._FilterDatabase" localSheetId="0" hidden="1">'2000006917 000001085309 R'!$A$1:$Y$56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R16" i="1"/>
  <c r="R17" i="1"/>
  <c r="R14" i="1"/>
  <c r="R13" i="1"/>
  <c r="R12" i="1"/>
  <c r="R37" i="1"/>
  <c r="R36" i="1"/>
  <c r="R35" i="1"/>
  <c r="R47" i="1"/>
  <c r="R46" i="1"/>
  <c r="R45" i="1"/>
  <c r="R44" i="1"/>
  <c r="R43" i="1"/>
  <c r="R42" i="1"/>
  <c r="R41" i="1"/>
  <c r="R40" i="1"/>
  <c r="Q7" i="1"/>
  <c r="X24" i="1"/>
  <c r="Q24" i="1"/>
  <c r="Q21" i="1" s="1"/>
  <c r="R21" i="1" s="1"/>
  <c r="Q52" i="1"/>
  <c r="Q51" i="1"/>
  <c r="Q11" i="1"/>
  <c r="Q8" i="1" s="1"/>
  <c r="Q9" i="1" s="1"/>
  <c r="R9" i="1" s="1"/>
  <c r="Q30" i="1"/>
  <c r="Q25" i="1" s="1"/>
  <c r="Q54" i="1"/>
  <c r="R54" i="1" s="1"/>
  <c r="Q53" i="1"/>
  <c r="R53" i="1" s="1"/>
  <c r="Q50" i="1"/>
  <c r="R50" i="1" s="1"/>
  <c r="Q49" i="1"/>
  <c r="R49" i="1" s="1"/>
  <c r="Q26" i="1" l="1"/>
  <c r="R26" i="1" s="1"/>
  <c r="Q2" i="1"/>
  <c r="R2" i="1" s="1"/>
  <c r="Q5" i="1"/>
  <c r="R5" i="1" s="1"/>
  <c r="Q3" i="1"/>
  <c r="R3" i="1" s="1"/>
  <c r="Q4" i="1"/>
  <c r="R4" i="1" s="1"/>
  <c r="Q6" i="1"/>
  <c r="R6" i="1" s="1"/>
  <c r="Q20" i="1"/>
  <c r="R20" i="1" s="1"/>
  <c r="Q22" i="1"/>
  <c r="R22" i="1" s="1"/>
  <c r="Q19" i="1"/>
  <c r="R19" i="1" s="1"/>
  <c r="Q34" i="1"/>
  <c r="Q23" i="1"/>
  <c r="R23" i="1" s="1"/>
  <c r="Q29" i="1"/>
  <c r="R29" i="1" s="1"/>
  <c r="Q28" i="1"/>
  <c r="R28" i="1" s="1"/>
  <c r="Q10" i="1"/>
  <c r="R10" i="1" s="1"/>
  <c r="Q27" i="1"/>
  <c r="R27" i="1" s="1"/>
  <c r="Q33" i="1" l="1"/>
  <c r="R33" i="1" s="1"/>
  <c r="Q32" i="1"/>
  <c r="R32" i="1" s="1"/>
  <c r="Q31" i="1"/>
  <c r="R31" i="1" s="1"/>
</calcChain>
</file>

<file path=xl/sharedStrings.xml><?xml version="1.0" encoding="utf-8"?>
<sst xmlns="http://schemas.openxmlformats.org/spreadsheetml/2006/main" count="715" uniqueCount="123">
  <si>
    <t>1071570</t>
  </si>
  <si>
    <t>515-0040</t>
  </si>
  <si>
    <t>1</t>
  </si>
  <si>
    <t/>
  </si>
  <si>
    <t>4900155183</t>
  </si>
  <si>
    <t>2</t>
  </si>
  <si>
    <t>261</t>
  </si>
  <si>
    <t>2001</t>
  </si>
  <si>
    <t>H</t>
  </si>
  <si>
    <t>PLN</t>
  </si>
  <si>
    <t>543-0260</t>
  </si>
  <si>
    <t>4</t>
  </si>
  <si>
    <t>0004055169</t>
  </si>
  <si>
    <t>547-2010</t>
  </si>
  <si>
    <t>7</t>
  </si>
  <si>
    <t>H006454738</t>
  </si>
  <si>
    <t>547-2910</t>
  </si>
  <si>
    <t>6</t>
  </si>
  <si>
    <t>H006454778</t>
  </si>
  <si>
    <t>564-0100</t>
  </si>
  <si>
    <t>5</t>
  </si>
  <si>
    <t>573-0400</t>
  </si>
  <si>
    <t>3</t>
  </si>
  <si>
    <t>0004056978</t>
  </si>
  <si>
    <t>610-0270</t>
  </si>
  <si>
    <t>8</t>
  </si>
  <si>
    <t>0004054586</t>
  </si>
  <si>
    <t>705-0112</t>
  </si>
  <si>
    <t>10</t>
  </si>
  <si>
    <t>706-0070</t>
  </si>
  <si>
    <t>9</t>
  </si>
  <si>
    <t>610-0302</t>
  </si>
  <si>
    <t>101</t>
  </si>
  <si>
    <t>0004054585</t>
  </si>
  <si>
    <t>S</t>
  </si>
  <si>
    <t>1071571</t>
  </si>
  <si>
    <t>547-1220</t>
  </si>
  <si>
    <t>4900155181</t>
  </si>
  <si>
    <t>547-1225</t>
  </si>
  <si>
    <t>705-0125</t>
  </si>
  <si>
    <t>1074528</t>
  </si>
  <si>
    <t>573-0065</t>
  </si>
  <si>
    <t>4900155182</t>
  </si>
  <si>
    <t>706-0080</t>
  </si>
  <si>
    <t>1078639</t>
  </si>
  <si>
    <t>4900176409</t>
  </si>
  <si>
    <t>M22020224</t>
  </si>
  <si>
    <t>547-2020</t>
  </si>
  <si>
    <t>0004063086</t>
  </si>
  <si>
    <t>547-2213</t>
  </si>
  <si>
    <t>0004063087</t>
  </si>
  <si>
    <t>0004066074</t>
  </si>
  <si>
    <t>0004060372</t>
  </si>
  <si>
    <t>706-0100</t>
  </si>
  <si>
    <t>11</t>
  </si>
  <si>
    <t>4900178810</t>
  </si>
  <si>
    <t>0004060371</t>
  </si>
  <si>
    <t>1078640</t>
  </si>
  <si>
    <t>4900176395</t>
  </si>
  <si>
    <t>1085255</t>
  </si>
  <si>
    <t>4900176399</t>
  </si>
  <si>
    <t>0004065029</t>
  </si>
  <si>
    <t>0004063690</t>
  </si>
  <si>
    <t>1085309</t>
  </si>
  <si>
    <t>120-0601</t>
  </si>
  <si>
    <t>4900177723</t>
  </si>
  <si>
    <t>0004066126</t>
  </si>
  <si>
    <t>671-0055</t>
  </si>
  <si>
    <t>671-0200</t>
  </si>
  <si>
    <t>672-0010</t>
  </si>
  <si>
    <t>674-0010</t>
  </si>
  <si>
    <t>680-0009</t>
  </si>
  <si>
    <t>4900178588</t>
  </si>
  <si>
    <t>680-0025</t>
  </si>
  <si>
    <t>685-0300</t>
  </si>
  <si>
    <t>686-0008</t>
  </si>
  <si>
    <t>120-0601-12820</t>
  </si>
  <si>
    <t>0004066124</t>
  </si>
  <si>
    <t>1085311</t>
  </si>
  <si>
    <t>183-0505</t>
  </si>
  <si>
    <t>4900177722</t>
  </si>
  <si>
    <t>503-0007</t>
  </si>
  <si>
    <t>4900177937</t>
  </si>
  <si>
    <t>700-0011</t>
  </si>
  <si>
    <t>500-1407</t>
  </si>
  <si>
    <t>4900177932</t>
  </si>
  <si>
    <t>Nr zlecenia</t>
  </si>
  <si>
    <t>Materiał</t>
  </si>
  <si>
    <t>Wskaźnik ruchów mat.</t>
  </si>
  <si>
    <t>Niewyc. przyj. mat.</t>
  </si>
  <si>
    <t>Dokument materiałowy</t>
  </si>
  <si>
    <t>Poz. dokum. mater.</t>
  </si>
  <si>
    <t>Rodzaj ruchu</t>
  </si>
  <si>
    <t>Skład</t>
  </si>
  <si>
    <t>Partia</t>
  </si>
  <si>
    <t>Wskaźnik Wn/Ma</t>
  </si>
  <si>
    <t>Kwota w WKr (WAERS)</t>
  </si>
  <si>
    <t>Waluta</t>
  </si>
  <si>
    <t>Ilość (MEINS)</t>
  </si>
  <si>
    <t>Data księgowania</t>
  </si>
  <si>
    <t>FG</t>
  </si>
  <si>
    <t>RM</t>
  </si>
  <si>
    <t>Mamy S to znaczym że z tej partii jest koniec, ale w zleceniu są inne nr partii do przeanalizowania</t>
  </si>
  <si>
    <t>Wszystkie H w zleceniu bez partii są już surowcem RM</t>
  </si>
  <si>
    <t>H i nr partii oznacza, że trzeba szukać dalej, jeśli dalej w pliku nie ma nr partii w innym wierszu, to jeszcze wyszukujemy wg. nr materiału takiego samego (zlecenia przerwane przez manualne nadanie partii - w tym przykładzie nie występuje)</t>
  </si>
  <si>
    <t>jak wyżej nr partii jest nr partii dostawcy (wyszukujemy, czy gdzieś indziej występuje nr partii i czy gdzieś indziej występuje nr materiału, aby odszukać zlecenia przerwane)</t>
  </si>
  <si>
    <t>S, koniec partii</t>
  </si>
  <si>
    <t>Szukamy wg. partii, czy S czy H i alternatywnie nr produktu i kierujemy się ilością pierwotnego zlecenia kolumna M</t>
  </si>
  <si>
    <t>Mamy nr partii i znaczek H to znaczy, że musimy zrobić looping (to jest półprodukt, szukamy ilości 1400 w innych zleceniach wg. partii)</t>
  </si>
  <si>
    <t>całość kwoty, bo 100% z tego zlecenia było wykorzystane w FG</t>
  </si>
  <si>
    <t>Surowce RM - bezpośrednio użyte do FG (literka H i bez partii) - w 100% wliczane</t>
  </si>
  <si>
    <t>S i nr partii więc koniec szukania, tego nr partii. Bieżemy proporcję ilości z poprzedniej partii i ilości z partii końcowej FG</t>
  </si>
  <si>
    <t>Procent wyliczony duplikujemy do surowców ze zlecenia</t>
  </si>
  <si>
    <t>Procent do kontynuowania przy segregacji RM w kolejnych podzleceniach</t>
  </si>
  <si>
    <t>Bo całość ilościowa rozliczona w batchu 4060372</t>
  </si>
  <si>
    <t>20 sztuk na testy</t>
  </si>
  <si>
    <t>20 sztuk testy</t>
  </si>
  <si>
    <t>testujemy: w poprzednim zleceniu, jak S z zlecenia i H z podzlecenia wg. nr partii jest ta sama, a w podzleceniu więcej ilości to jest to zużyte na testy, nie uwględniamy</t>
  </si>
  <si>
    <t>S końcowe, ale na testy nie używamy</t>
  </si>
  <si>
    <t>100% ilości zlecenia wcześniejszego i tego podzlecenia więc proporcja ta sama</t>
  </si>
  <si>
    <t>100% wykorzystane w ilości zlecenie i te podzlecenie, więc 10 extra to na testy więc 0% bieżemy</t>
  </si>
  <si>
    <t>% bieżemy tylko dla zielonych, różowych nie liczymy, to wartośćS czyli koszt planowany czyli RM + półprodukt + koszty pracy, a my chcemy tylko surowiec</t>
  </si>
  <si>
    <t>Czyli kopjujemy z S dla tego zlecenia % dla wszystkich surówców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</si>
</sst>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14" fontId="0" fillId="3" borderId="0" xfId="0" applyNumberFormat="1" applyFill="1" applyAlignment="1">
      <alignment horizontal="right"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4" fontId="0" fillId="4" borderId="0" xfId="0" applyNumberFormat="1" applyFill="1" applyAlignment="1">
      <alignment horizontal="right" vertical="top"/>
    </xf>
    <xf numFmtId="3" fontId="0" fillId="4" borderId="0" xfId="0" applyNumberFormat="1" applyFill="1" applyAlignment="1">
      <alignment horizontal="right" vertical="top"/>
    </xf>
    <xf numFmtId="14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4" fontId="0" fillId="5" borderId="0" xfId="0" applyNumberFormat="1" applyFill="1" applyAlignment="1">
      <alignment horizontal="right" vertical="top"/>
    </xf>
    <xf numFmtId="3" fontId="0" fillId="5" borderId="0" xfId="0" applyNumberFormat="1" applyFill="1" applyAlignment="1">
      <alignment horizontal="right" vertical="top"/>
    </xf>
    <xf numFmtId="14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4" fontId="0" fillId="6" borderId="0" xfId="0" applyNumberFormat="1" applyFill="1" applyAlignment="1">
      <alignment horizontal="right" vertical="top"/>
    </xf>
    <xf numFmtId="3" fontId="0" fillId="6" borderId="0" xfId="0" applyNumberFormat="1" applyFill="1" applyAlignment="1">
      <alignment horizontal="right" vertical="top"/>
    </xf>
    <xf numFmtId="14" fontId="0" fillId="6" borderId="0" xfId="0" applyNumberFormat="1" applyFill="1" applyAlignment="1">
      <alignment horizontal="right" vertical="top"/>
    </xf>
    <xf numFmtId="164" fontId="0" fillId="6" borderId="0" xfId="0" applyNumberFormat="1" applyFill="1" applyAlignment="1">
      <alignment horizontal="right" vertical="top"/>
    </xf>
    <xf numFmtId="0" fontId="1" fillId="6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vertical="top"/>
    </xf>
    <xf numFmtId="9" fontId="1" fillId="6" borderId="0" xfId="1" applyFont="1" applyFill="1" applyAlignment="1">
      <alignment vertical="top"/>
    </xf>
    <xf numFmtId="9" fontId="1" fillId="6" borderId="0" xfId="0" applyNumberFormat="1" applyFon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0" fontId="1" fillId="4" borderId="0" xfId="0" applyFont="1" applyFill="1" applyAlignment="1">
      <alignment vertical="top"/>
    </xf>
    <xf numFmtId="9" fontId="1" fillId="5" borderId="0" xfId="1" applyFont="1" applyFill="1" applyAlignment="1">
      <alignment vertical="top"/>
    </xf>
    <xf numFmtId="9" fontId="0" fillId="5" borderId="0" xfId="1" applyFont="1" applyFill="1" applyAlignment="1">
      <alignment vertical="top"/>
    </xf>
    <xf numFmtId="9" fontId="0" fillId="6" borderId="0" xfId="1" applyFont="1" applyFill="1" applyAlignment="1">
      <alignment vertical="top"/>
    </xf>
    <xf numFmtId="9" fontId="1" fillId="7" borderId="0" xfId="1" applyFont="1" applyFill="1" applyAlignment="1">
      <alignment vertical="top"/>
    </xf>
    <xf numFmtId="9" fontId="0" fillId="7" borderId="0" xfId="1" applyFont="1" applyFill="1" applyAlignment="1">
      <alignment vertical="top"/>
    </xf>
    <xf numFmtId="9" fontId="0" fillId="5" borderId="0" xfId="0" applyNumberFormat="1" applyFill="1" applyAlignment="1">
      <alignment vertical="top"/>
    </xf>
    <xf numFmtId="9" fontId="0" fillId="6" borderId="0" xfId="0" applyNumberFormat="1" applyFill="1" applyAlignment="1">
      <alignment vertical="top"/>
    </xf>
    <xf numFmtId="9" fontId="0" fillId="4" borderId="0" xfId="0" applyNumberFormat="1" applyFill="1" applyAlignment="1">
      <alignment vertical="top"/>
    </xf>
    <xf numFmtId="2" fontId="1" fillId="6" borderId="0" xfId="1" applyNumberFormat="1" applyFont="1" applyFill="1" applyAlignment="1">
      <alignment vertical="top"/>
    </xf>
    <xf numFmtId="2" fontId="0" fillId="6" borderId="0" xfId="1" applyNumberFormat="1" applyFont="1" applyFill="1" applyAlignment="1">
      <alignment vertical="top"/>
    </xf>
    <xf numFmtId="2" fontId="2" fillId="8" borderId="0" xfId="0" applyNumberFormat="1" applyFont="1" applyFill="1" applyAlignment="1">
      <alignment vertical="top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tabSelected="1" topLeftCell="A28" workbookViewId="0">
      <selection activeCell="M65" sqref="M65"/>
    </sheetView>
  </sheetViews>
  <sheetFormatPr defaultRowHeight="12.5" x14ac:dyDescent="0.25"/>
  <cols>
    <col min="1" max="1" width="13" bestFit="1" customWidth="1"/>
    <col min="2" max="2" width="16" bestFit="1" customWidth="1"/>
    <col min="3" max="3" width="13" bestFit="1" customWidth="1"/>
    <col min="4" max="4" width="21" bestFit="1" customWidth="1"/>
    <col min="5" max="6" width="12" bestFit="1" customWidth="1"/>
    <col min="7" max="7" width="14" bestFit="1" customWidth="1"/>
    <col min="8" max="8" width="7" bestFit="1" customWidth="1"/>
    <col min="9" max="9" width="12" bestFit="1" customWidth="1"/>
    <col min="10" max="10" width="10" bestFit="1" customWidth="1"/>
    <col min="11" max="11" width="11" bestFit="1" customWidth="1"/>
    <col min="12" max="12" width="8" bestFit="1" customWidth="1"/>
    <col min="13" max="13" width="15" bestFit="1" customWidth="1"/>
    <col min="14" max="14" width="18" bestFit="1" customWidth="1"/>
    <col min="17" max="17" width="9.08984375" bestFit="1" customWidth="1"/>
    <col min="18" max="18" width="9.08984375" customWidth="1"/>
  </cols>
  <sheetData>
    <row r="1" spans="1:20" ht="37.5" x14ac:dyDescent="0.25">
      <c r="A1" s="1" t="s">
        <v>86</v>
      </c>
      <c r="B1" s="1" t="s">
        <v>87</v>
      </c>
      <c r="C1" s="2" t="s">
        <v>88</v>
      </c>
      <c r="D1" s="1" t="s">
        <v>89</v>
      </c>
      <c r="E1" s="2" t="s">
        <v>90</v>
      </c>
      <c r="F1" s="2" t="s">
        <v>91</v>
      </c>
      <c r="G1" s="1" t="s">
        <v>92</v>
      </c>
      <c r="H1" s="1" t="s">
        <v>93</v>
      </c>
      <c r="I1" s="1" t="s">
        <v>94</v>
      </c>
      <c r="J1" s="2" t="s">
        <v>95</v>
      </c>
      <c r="K1" s="2" t="s">
        <v>96</v>
      </c>
      <c r="L1" s="1" t="s">
        <v>97</v>
      </c>
      <c r="M1" s="1" t="s">
        <v>98</v>
      </c>
      <c r="N1" s="1" t="s">
        <v>99</v>
      </c>
      <c r="Q1" s="23" t="s">
        <v>121</v>
      </c>
      <c r="R1" s="23"/>
    </row>
    <row r="2" spans="1:20" s="16" customForma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3</v>
      </c>
      <c r="J2" s="16" t="s">
        <v>8</v>
      </c>
      <c r="K2" s="17">
        <v>1428.6</v>
      </c>
      <c r="L2" s="16" t="s">
        <v>9</v>
      </c>
      <c r="M2" s="18">
        <v>2043</v>
      </c>
      <c r="N2" s="19">
        <v>44774</v>
      </c>
      <c r="P2" s="21" t="s">
        <v>101</v>
      </c>
      <c r="Q2" s="34">
        <f>Q8</f>
        <v>-0.46142857142857141</v>
      </c>
      <c r="R2" s="36">
        <f>K2*Q2</f>
        <v>-659.19685714285708</v>
      </c>
      <c r="S2" s="21" t="s">
        <v>122</v>
      </c>
    </row>
    <row r="3" spans="1:20" s="8" customFormat="1" x14ac:dyDescent="0.25">
      <c r="A3" s="8" t="s">
        <v>0</v>
      </c>
      <c r="B3" s="8" t="s">
        <v>10</v>
      </c>
      <c r="C3" s="8" t="s">
        <v>2</v>
      </c>
      <c r="D3" s="8" t="s">
        <v>3</v>
      </c>
      <c r="E3" s="8" t="s">
        <v>4</v>
      </c>
      <c r="F3" s="8" t="s">
        <v>11</v>
      </c>
      <c r="G3" s="8" t="s">
        <v>6</v>
      </c>
      <c r="H3" s="8" t="s">
        <v>7</v>
      </c>
      <c r="I3" s="8" t="s">
        <v>12</v>
      </c>
      <c r="J3" s="8" t="s">
        <v>8</v>
      </c>
      <c r="K3" s="9">
        <v>183.28</v>
      </c>
      <c r="L3" s="8" t="s">
        <v>9</v>
      </c>
      <c r="M3" s="10">
        <v>2043</v>
      </c>
      <c r="N3" s="11">
        <v>44774</v>
      </c>
      <c r="P3" s="21" t="s">
        <v>101</v>
      </c>
      <c r="Q3" s="35">
        <f>Q9</f>
        <v>-0.46142857142857141</v>
      </c>
      <c r="R3" s="37">
        <f t="shared" ref="R3:R5" si="0">Q3*K3</f>
        <v>-84.570628571428571</v>
      </c>
      <c r="S3" s="21" t="s">
        <v>122</v>
      </c>
    </row>
    <row r="4" spans="1:20" s="8" customFormat="1" x14ac:dyDescent="0.25">
      <c r="A4" s="8" t="s">
        <v>0</v>
      </c>
      <c r="B4" s="8" t="s">
        <v>13</v>
      </c>
      <c r="C4" s="8" t="s">
        <v>2</v>
      </c>
      <c r="D4" s="8" t="s">
        <v>3</v>
      </c>
      <c r="E4" s="8" t="s">
        <v>4</v>
      </c>
      <c r="F4" s="8" t="s">
        <v>14</v>
      </c>
      <c r="G4" s="8" t="s">
        <v>6</v>
      </c>
      <c r="H4" s="8" t="s">
        <v>7</v>
      </c>
      <c r="I4" s="8" t="s">
        <v>15</v>
      </c>
      <c r="J4" s="8" t="s">
        <v>8</v>
      </c>
      <c r="K4" s="9">
        <v>445.7</v>
      </c>
      <c r="L4" s="8" t="s">
        <v>9</v>
      </c>
      <c r="M4" s="26">
        <v>3.6</v>
      </c>
      <c r="N4" s="11">
        <v>44774</v>
      </c>
      <c r="P4" s="21" t="s">
        <v>101</v>
      </c>
      <c r="Q4" s="35">
        <f>Q9</f>
        <v>-0.46142857142857141</v>
      </c>
      <c r="R4" s="37">
        <f t="shared" si="0"/>
        <v>-205.65871428571427</v>
      </c>
      <c r="S4" s="21" t="s">
        <v>122</v>
      </c>
    </row>
    <row r="5" spans="1:20" s="8" customFormat="1" x14ac:dyDescent="0.25">
      <c r="A5" s="8" t="s">
        <v>0</v>
      </c>
      <c r="B5" s="8" t="s">
        <v>16</v>
      </c>
      <c r="C5" s="8" t="s">
        <v>2</v>
      </c>
      <c r="D5" s="8" t="s">
        <v>3</v>
      </c>
      <c r="E5" s="8" t="s">
        <v>4</v>
      </c>
      <c r="F5" s="8" t="s">
        <v>17</v>
      </c>
      <c r="G5" s="8" t="s">
        <v>6</v>
      </c>
      <c r="H5" s="8" t="s">
        <v>7</v>
      </c>
      <c r="I5" s="27" t="s">
        <v>18</v>
      </c>
      <c r="J5" s="8" t="s">
        <v>8</v>
      </c>
      <c r="K5" s="9">
        <v>495.61</v>
      </c>
      <c r="L5" s="8" t="s">
        <v>9</v>
      </c>
      <c r="M5" s="26">
        <v>2.0539999999999998</v>
      </c>
      <c r="N5" s="11">
        <v>44774</v>
      </c>
      <c r="P5" s="21" t="s">
        <v>101</v>
      </c>
      <c r="Q5" s="35">
        <f>Q9</f>
        <v>-0.46142857142857141</v>
      </c>
      <c r="R5" s="37">
        <f t="shared" si="0"/>
        <v>-228.68861428571429</v>
      </c>
      <c r="S5" s="21" t="s">
        <v>122</v>
      </c>
    </row>
    <row r="6" spans="1:20" s="16" customFormat="1" x14ac:dyDescent="0.25">
      <c r="A6" s="16" t="s">
        <v>0</v>
      </c>
      <c r="B6" s="16" t="s">
        <v>19</v>
      </c>
      <c r="C6" s="16" t="s">
        <v>2</v>
      </c>
      <c r="D6" s="16" t="s">
        <v>3</v>
      </c>
      <c r="E6" s="16" t="s">
        <v>4</v>
      </c>
      <c r="F6" s="16" t="s">
        <v>20</v>
      </c>
      <c r="G6" s="16" t="s">
        <v>6</v>
      </c>
      <c r="H6" s="16" t="s">
        <v>7</v>
      </c>
      <c r="I6" s="16" t="s">
        <v>3</v>
      </c>
      <c r="J6" s="16" t="s">
        <v>8</v>
      </c>
      <c r="K6" s="17">
        <v>135.16</v>
      </c>
      <c r="L6" s="16" t="s">
        <v>9</v>
      </c>
      <c r="M6" s="18">
        <v>2043</v>
      </c>
      <c r="N6" s="19">
        <v>44774</v>
      </c>
      <c r="P6" s="21" t="s">
        <v>101</v>
      </c>
      <c r="Q6" s="34">
        <f>Q9</f>
        <v>-0.46142857142857141</v>
      </c>
      <c r="R6" s="36">
        <f>K6*Q6</f>
        <v>-62.366685714285708</v>
      </c>
      <c r="S6" s="21" t="s">
        <v>122</v>
      </c>
    </row>
    <row r="7" spans="1:20" s="12" customFormat="1" x14ac:dyDescent="0.25">
      <c r="A7" s="12" t="s">
        <v>0</v>
      </c>
      <c r="B7" s="12" t="s">
        <v>21</v>
      </c>
      <c r="C7" s="12" t="s">
        <v>2</v>
      </c>
      <c r="D7" s="12" t="s">
        <v>3</v>
      </c>
      <c r="E7" s="12" t="s">
        <v>4</v>
      </c>
      <c r="F7" s="12" t="s">
        <v>22</v>
      </c>
      <c r="G7" s="12" t="s">
        <v>6</v>
      </c>
      <c r="H7" s="12" t="s">
        <v>7</v>
      </c>
      <c r="I7" s="12" t="s">
        <v>23</v>
      </c>
      <c r="J7" s="12" t="s">
        <v>8</v>
      </c>
      <c r="K7" s="13">
        <v>7</v>
      </c>
      <c r="L7" s="12" t="s">
        <v>9</v>
      </c>
      <c r="M7" s="14">
        <v>10</v>
      </c>
      <c r="N7" s="15">
        <v>44774</v>
      </c>
      <c r="O7" s="12">
        <v>4</v>
      </c>
      <c r="Q7" s="29">
        <f>M11+M8</f>
        <v>0</v>
      </c>
      <c r="R7" s="29"/>
      <c r="S7" s="22" t="s">
        <v>120</v>
      </c>
    </row>
    <row r="8" spans="1:20" s="12" customFormat="1" x14ac:dyDescent="0.25">
      <c r="A8" s="12" t="s">
        <v>0</v>
      </c>
      <c r="B8" s="12" t="s">
        <v>24</v>
      </c>
      <c r="C8" s="12" t="s">
        <v>2</v>
      </c>
      <c r="D8" s="12" t="s">
        <v>3</v>
      </c>
      <c r="E8" s="12" t="s">
        <v>4</v>
      </c>
      <c r="F8" s="12" t="s">
        <v>25</v>
      </c>
      <c r="G8" s="12" t="s">
        <v>6</v>
      </c>
      <c r="H8" s="12" t="s">
        <v>7</v>
      </c>
      <c r="I8" s="12">
        <v>4054586</v>
      </c>
      <c r="J8" s="12" t="s">
        <v>8</v>
      </c>
      <c r="K8" s="13">
        <v>1695.69</v>
      </c>
      <c r="L8" s="12" t="s">
        <v>9</v>
      </c>
      <c r="M8" s="14">
        <v>2043</v>
      </c>
      <c r="N8" s="15">
        <v>44774</v>
      </c>
      <c r="P8" s="22" t="s">
        <v>101</v>
      </c>
      <c r="Q8" s="29">
        <f>Q11*(M8/M11)</f>
        <v>-0.46142857142857141</v>
      </c>
      <c r="R8" s="29"/>
      <c r="S8" s="22" t="s">
        <v>119</v>
      </c>
    </row>
    <row r="9" spans="1:20" s="16" customFormat="1" x14ac:dyDescent="0.25">
      <c r="A9" s="16" t="s">
        <v>0</v>
      </c>
      <c r="B9" s="16" t="s">
        <v>27</v>
      </c>
      <c r="C9" s="16" t="s">
        <v>2</v>
      </c>
      <c r="D9" s="16" t="s">
        <v>3</v>
      </c>
      <c r="E9" s="16" t="s">
        <v>4</v>
      </c>
      <c r="F9" s="16" t="s">
        <v>28</v>
      </c>
      <c r="G9" s="16" t="s">
        <v>6</v>
      </c>
      <c r="H9" s="16" t="s">
        <v>7</v>
      </c>
      <c r="I9" s="16" t="s">
        <v>3</v>
      </c>
      <c r="J9" s="16" t="s">
        <v>8</v>
      </c>
      <c r="K9" s="17">
        <v>521.39</v>
      </c>
      <c r="L9" s="16" t="s">
        <v>9</v>
      </c>
      <c r="M9" s="18">
        <v>2043</v>
      </c>
      <c r="N9" s="19">
        <v>44774</v>
      </c>
      <c r="P9" s="21" t="s">
        <v>101</v>
      </c>
      <c r="Q9" s="34">
        <f>Q8</f>
        <v>-0.46142857142857141</v>
      </c>
      <c r="R9" s="36">
        <f t="shared" ref="R9:R10" si="1">K9*Q9</f>
        <v>-240.58424285714284</v>
      </c>
      <c r="S9" s="21" t="s">
        <v>122</v>
      </c>
    </row>
    <row r="10" spans="1:20" s="16" customFormat="1" x14ac:dyDescent="0.25">
      <c r="A10" s="16" t="s">
        <v>0</v>
      </c>
      <c r="B10" s="16" t="s">
        <v>29</v>
      </c>
      <c r="C10" s="16" t="s">
        <v>2</v>
      </c>
      <c r="D10" s="16" t="s">
        <v>3</v>
      </c>
      <c r="E10" s="16" t="s">
        <v>4</v>
      </c>
      <c r="F10" s="16" t="s">
        <v>30</v>
      </c>
      <c r="G10" s="16" t="s">
        <v>6</v>
      </c>
      <c r="H10" s="16" t="s">
        <v>7</v>
      </c>
      <c r="I10" s="16" t="s">
        <v>3</v>
      </c>
      <c r="J10" s="16" t="s">
        <v>8</v>
      </c>
      <c r="K10" s="17">
        <v>338.87</v>
      </c>
      <c r="L10" s="16" t="s">
        <v>9</v>
      </c>
      <c r="M10" s="20">
        <v>2.0430000000000001</v>
      </c>
      <c r="N10" s="19">
        <v>44774</v>
      </c>
      <c r="P10" s="21" t="s">
        <v>101</v>
      </c>
      <c r="Q10" s="34">
        <f>Q8</f>
        <v>-0.46142857142857141</v>
      </c>
      <c r="R10" s="36">
        <f t="shared" si="1"/>
        <v>-156.36429999999999</v>
      </c>
      <c r="S10" s="21" t="s">
        <v>122</v>
      </c>
    </row>
    <row r="11" spans="1:20" s="12" customFormat="1" x14ac:dyDescent="0.25">
      <c r="A11" s="12" t="s">
        <v>0</v>
      </c>
      <c r="B11" s="12" t="s">
        <v>31</v>
      </c>
      <c r="C11" s="12" t="s">
        <v>11</v>
      </c>
      <c r="D11" s="12" t="s">
        <v>3</v>
      </c>
      <c r="E11" s="12" t="s">
        <v>4</v>
      </c>
      <c r="F11" s="12" t="s">
        <v>2</v>
      </c>
      <c r="G11" s="12" t="s">
        <v>32</v>
      </c>
      <c r="H11" s="12" t="s">
        <v>7</v>
      </c>
      <c r="I11" s="12" t="s">
        <v>33</v>
      </c>
      <c r="J11" s="12" t="s">
        <v>34</v>
      </c>
      <c r="K11" s="13">
        <v>-6394.59</v>
      </c>
      <c r="L11" s="12" t="s">
        <v>9</v>
      </c>
      <c r="M11" s="14">
        <v>-2043</v>
      </c>
      <c r="N11" s="15">
        <v>44774</v>
      </c>
      <c r="O11" s="12">
        <v>3</v>
      </c>
      <c r="Q11" s="32">
        <f>M51/-M48</f>
        <v>0.46142857142857141</v>
      </c>
      <c r="R11" s="32"/>
      <c r="S11" s="22" t="s">
        <v>111</v>
      </c>
    </row>
    <row r="12" spans="1:20" s="16" customFormat="1" x14ac:dyDescent="0.25">
      <c r="A12" s="16" t="s">
        <v>35</v>
      </c>
      <c r="B12" s="16" t="s">
        <v>36</v>
      </c>
      <c r="C12" s="16" t="s">
        <v>2</v>
      </c>
      <c r="D12" s="16" t="s">
        <v>3</v>
      </c>
      <c r="E12" s="16" t="s">
        <v>37</v>
      </c>
      <c r="F12" s="16" t="s">
        <v>11</v>
      </c>
      <c r="G12" s="16" t="s">
        <v>6</v>
      </c>
      <c r="H12" s="16" t="s">
        <v>7</v>
      </c>
      <c r="I12" s="16" t="s">
        <v>3</v>
      </c>
      <c r="J12" s="16" t="s">
        <v>8</v>
      </c>
      <c r="K12" s="17">
        <v>202.7</v>
      </c>
      <c r="L12" s="16" t="s">
        <v>9</v>
      </c>
      <c r="M12" s="20">
        <v>1.06</v>
      </c>
      <c r="N12" s="19">
        <v>44774</v>
      </c>
      <c r="P12" s="21" t="s">
        <v>101</v>
      </c>
      <c r="Q12" s="30">
        <v>0.46142857142857141</v>
      </c>
      <c r="R12" s="36">
        <f t="shared" ref="R12:R14" si="2">K12*Q12</f>
        <v>93.531571428571425</v>
      </c>
      <c r="S12" s="21" t="s">
        <v>112</v>
      </c>
    </row>
    <row r="13" spans="1:20" s="16" customFormat="1" x14ac:dyDescent="0.25">
      <c r="A13" s="16" t="s">
        <v>35</v>
      </c>
      <c r="B13" s="16" t="s">
        <v>38</v>
      </c>
      <c r="C13" s="16" t="s">
        <v>2</v>
      </c>
      <c r="D13" s="16" t="s">
        <v>3</v>
      </c>
      <c r="E13" s="16" t="s">
        <v>37</v>
      </c>
      <c r="F13" s="16" t="s">
        <v>22</v>
      </c>
      <c r="G13" s="16" t="s">
        <v>6</v>
      </c>
      <c r="H13" s="16" t="s">
        <v>7</v>
      </c>
      <c r="I13" s="16" t="s">
        <v>3</v>
      </c>
      <c r="J13" s="16" t="s">
        <v>8</v>
      </c>
      <c r="K13" s="17">
        <v>153.12</v>
      </c>
      <c r="L13" s="16" t="s">
        <v>9</v>
      </c>
      <c r="M13" s="20">
        <v>1.4450000000000001</v>
      </c>
      <c r="N13" s="19">
        <v>44774</v>
      </c>
      <c r="P13" s="21" t="s">
        <v>101</v>
      </c>
      <c r="Q13" s="30">
        <v>0.46142857142857141</v>
      </c>
      <c r="R13" s="36">
        <f t="shared" si="2"/>
        <v>70.653942857142852</v>
      </c>
      <c r="S13" s="21" t="s">
        <v>112</v>
      </c>
    </row>
    <row r="14" spans="1:20" s="16" customFormat="1" x14ac:dyDescent="0.25">
      <c r="A14" s="16" t="s">
        <v>35</v>
      </c>
      <c r="B14" s="16" t="s">
        <v>39</v>
      </c>
      <c r="C14" s="16" t="s">
        <v>2</v>
      </c>
      <c r="D14" s="16" t="s">
        <v>3</v>
      </c>
      <c r="E14" s="16" t="s">
        <v>37</v>
      </c>
      <c r="F14" s="16" t="s">
        <v>5</v>
      </c>
      <c r="G14" s="16" t="s">
        <v>6</v>
      </c>
      <c r="H14" s="16" t="s">
        <v>7</v>
      </c>
      <c r="I14" s="16" t="s">
        <v>3</v>
      </c>
      <c r="J14" s="16" t="s">
        <v>8</v>
      </c>
      <c r="K14" s="17">
        <v>648.94000000000005</v>
      </c>
      <c r="L14" s="16" t="s">
        <v>9</v>
      </c>
      <c r="M14" s="18">
        <v>2070</v>
      </c>
      <c r="N14" s="19">
        <v>44774</v>
      </c>
      <c r="P14" s="21" t="s">
        <v>101</v>
      </c>
      <c r="Q14" s="30">
        <v>0.46142857142857141</v>
      </c>
      <c r="R14" s="36">
        <f t="shared" si="2"/>
        <v>299.43945714285718</v>
      </c>
      <c r="S14" s="21" t="s">
        <v>112</v>
      </c>
    </row>
    <row r="15" spans="1:20" s="12" customFormat="1" x14ac:dyDescent="0.25">
      <c r="A15" s="12" t="s">
        <v>35</v>
      </c>
      <c r="B15" s="12" t="s">
        <v>24</v>
      </c>
      <c r="C15" s="12" t="s">
        <v>11</v>
      </c>
      <c r="D15" s="12" t="s">
        <v>3</v>
      </c>
      <c r="E15" s="12" t="s">
        <v>37</v>
      </c>
      <c r="F15" s="12" t="s">
        <v>2</v>
      </c>
      <c r="G15" s="12" t="s">
        <v>32</v>
      </c>
      <c r="H15" s="12" t="s">
        <v>7</v>
      </c>
      <c r="I15" s="12" t="s">
        <v>26</v>
      </c>
      <c r="J15" s="12" t="s">
        <v>34</v>
      </c>
      <c r="K15" s="13">
        <v>-1718.1</v>
      </c>
      <c r="L15" s="12" t="s">
        <v>9</v>
      </c>
      <c r="M15" s="14">
        <v>-2070</v>
      </c>
      <c r="N15" s="15">
        <v>44774</v>
      </c>
      <c r="P15" s="22" t="s">
        <v>101</v>
      </c>
      <c r="Q15" s="29"/>
      <c r="R15" s="29"/>
      <c r="S15" s="22"/>
    </row>
    <row r="16" spans="1:20" s="8" customFormat="1" x14ac:dyDescent="0.25">
      <c r="A16" s="8" t="s">
        <v>40</v>
      </c>
      <c r="B16" s="8" t="s">
        <v>41</v>
      </c>
      <c r="C16" s="8" t="s">
        <v>2</v>
      </c>
      <c r="D16" s="8" t="s">
        <v>3</v>
      </c>
      <c r="E16" s="8" t="s">
        <v>42</v>
      </c>
      <c r="F16" s="8" t="s">
        <v>22</v>
      </c>
      <c r="G16" s="8" t="s">
        <v>6</v>
      </c>
      <c r="H16" s="8" t="s">
        <v>7</v>
      </c>
      <c r="I16" s="8">
        <v>4054843</v>
      </c>
      <c r="J16" s="8" t="s">
        <v>8</v>
      </c>
      <c r="K16" s="9">
        <v>32.01</v>
      </c>
      <c r="L16" s="8" t="s">
        <v>9</v>
      </c>
      <c r="M16" s="10">
        <v>5</v>
      </c>
      <c r="N16" s="11">
        <v>44774</v>
      </c>
      <c r="P16" s="21" t="s">
        <v>101</v>
      </c>
      <c r="Q16" s="30">
        <v>0</v>
      </c>
      <c r="R16" s="37">
        <f>Q16*K16</f>
        <v>0</v>
      </c>
      <c r="S16" s="22" t="s">
        <v>118</v>
      </c>
      <c r="T16" s="12"/>
    </row>
    <row r="17" spans="1:25" s="8" customFormat="1" x14ac:dyDescent="0.25">
      <c r="A17" s="8" t="s">
        <v>40</v>
      </c>
      <c r="B17" s="8" t="s">
        <v>43</v>
      </c>
      <c r="C17" s="8" t="s">
        <v>2</v>
      </c>
      <c r="D17" s="8" t="s">
        <v>3</v>
      </c>
      <c r="E17" s="8" t="s">
        <v>42</v>
      </c>
      <c r="F17" s="8" t="s">
        <v>5</v>
      </c>
      <c r="G17" s="8" t="s">
        <v>6</v>
      </c>
      <c r="H17" s="8" t="s">
        <v>7</v>
      </c>
      <c r="I17" s="8" t="s">
        <v>3</v>
      </c>
      <c r="J17" s="8" t="s">
        <v>8</v>
      </c>
      <c r="K17" s="9">
        <v>11.79</v>
      </c>
      <c r="L17" s="8" t="s">
        <v>9</v>
      </c>
      <c r="M17" s="10">
        <v>5</v>
      </c>
      <c r="N17" s="11">
        <v>44774</v>
      </c>
      <c r="P17" s="21" t="s">
        <v>101</v>
      </c>
      <c r="Q17" s="30">
        <v>0</v>
      </c>
      <c r="R17" s="37">
        <f>Q17*K17</f>
        <v>0</v>
      </c>
      <c r="S17" s="22" t="s">
        <v>118</v>
      </c>
      <c r="T17" s="12"/>
    </row>
    <row r="18" spans="1:25" s="12" customFormat="1" x14ac:dyDescent="0.25">
      <c r="A18" s="12" t="s">
        <v>40</v>
      </c>
      <c r="B18" s="12" t="s">
        <v>21</v>
      </c>
      <c r="C18" s="12" t="s">
        <v>11</v>
      </c>
      <c r="D18" s="12" t="s">
        <v>3</v>
      </c>
      <c r="E18" s="12" t="s">
        <v>42</v>
      </c>
      <c r="F18" s="12" t="s">
        <v>2</v>
      </c>
      <c r="G18" s="12" t="s">
        <v>32</v>
      </c>
      <c r="H18" s="12" t="s">
        <v>7</v>
      </c>
      <c r="I18" s="12" t="s">
        <v>23</v>
      </c>
      <c r="J18" s="12" t="s">
        <v>34</v>
      </c>
      <c r="K18" s="13">
        <v>-7</v>
      </c>
      <c r="L18" s="12" t="s">
        <v>9</v>
      </c>
      <c r="M18" s="14">
        <v>-10</v>
      </c>
      <c r="N18" s="15">
        <v>44774</v>
      </c>
      <c r="O18" s="12">
        <v>5</v>
      </c>
      <c r="P18" s="22" t="s">
        <v>34</v>
      </c>
      <c r="S18" s="22" t="s">
        <v>118</v>
      </c>
    </row>
    <row r="19" spans="1:25" s="16" customFormat="1" x14ac:dyDescent="0.25">
      <c r="A19" s="16" t="s">
        <v>44</v>
      </c>
      <c r="B19" s="16" t="s">
        <v>1</v>
      </c>
      <c r="C19" s="16" t="s">
        <v>2</v>
      </c>
      <c r="D19" s="16" t="s">
        <v>3</v>
      </c>
      <c r="E19" s="16" t="s">
        <v>45</v>
      </c>
      <c r="F19" s="16" t="s">
        <v>5</v>
      </c>
      <c r="G19" s="16" t="s">
        <v>6</v>
      </c>
      <c r="H19" s="16" t="s">
        <v>7</v>
      </c>
      <c r="I19" s="16" t="s">
        <v>3</v>
      </c>
      <c r="J19" s="16" t="s">
        <v>8</v>
      </c>
      <c r="K19" s="17">
        <v>1945.5</v>
      </c>
      <c r="L19" s="16" t="s">
        <v>9</v>
      </c>
      <c r="M19" s="18">
        <v>2372</v>
      </c>
      <c r="N19" s="19">
        <v>45233</v>
      </c>
      <c r="P19" s="21" t="s">
        <v>101</v>
      </c>
      <c r="Q19" s="25">
        <f>Q25</f>
        <v>-0.53857142857142859</v>
      </c>
      <c r="R19" s="36">
        <f t="shared" ref="R19:R23" si="3">K19*Q19</f>
        <v>-1047.7907142857143</v>
      </c>
      <c r="S19" s="21" t="s">
        <v>122</v>
      </c>
    </row>
    <row r="20" spans="1:25" s="16" customFormat="1" x14ac:dyDescent="0.25">
      <c r="A20" s="16" t="s">
        <v>44</v>
      </c>
      <c r="B20" s="16" t="s">
        <v>10</v>
      </c>
      <c r="C20" s="16" t="s">
        <v>2</v>
      </c>
      <c r="D20" s="16" t="s">
        <v>3</v>
      </c>
      <c r="E20" s="16" t="s">
        <v>45</v>
      </c>
      <c r="F20" s="16" t="s">
        <v>11</v>
      </c>
      <c r="G20" s="16" t="s">
        <v>6</v>
      </c>
      <c r="H20" s="16" t="s">
        <v>7</v>
      </c>
      <c r="I20" s="16" t="s">
        <v>46</v>
      </c>
      <c r="J20" s="16" t="s">
        <v>8</v>
      </c>
      <c r="K20" s="17">
        <v>222.1</v>
      </c>
      <c r="L20" s="16" t="s">
        <v>9</v>
      </c>
      <c r="M20" s="18">
        <v>2372</v>
      </c>
      <c r="N20" s="19">
        <v>45233</v>
      </c>
      <c r="P20" s="21" t="s">
        <v>101</v>
      </c>
      <c r="Q20" s="25">
        <f>Q25</f>
        <v>-0.53857142857142859</v>
      </c>
      <c r="R20" s="36">
        <f t="shared" si="3"/>
        <v>-119.61671428571428</v>
      </c>
      <c r="S20" s="21" t="s">
        <v>104</v>
      </c>
    </row>
    <row r="21" spans="1:25" s="16" customFormat="1" x14ac:dyDescent="0.25">
      <c r="A21" s="16" t="s">
        <v>44</v>
      </c>
      <c r="B21" s="21" t="s">
        <v>47</v>
      </c>
      <c r="C21" s="16" t="s">
        <v>2</v>
      </c>
      <c r="D21" s="16" t="s">
        <v>3</v>
      </c>
      <c r="E21" s="16" t="s">
        <v>45</v>
      </c>
      <c r="F21" s="16" t="s">
        <v>14</v>
      </c>
      <c r="G21" s="16" t="s">
        <v>6</v>
      </c>
      <c r="H21" s="16" t="s">
        <v>7</v>
      </c>
      <c r="I21" s="16" t="s">
        <v>48</v>
      </c>
      <c r="J21" s="16" t="s">
        <v>8</v>
      </c>
      <c r="K21" s="17">
        <v>104.58</v>
      </c>
      <c r="L21" s="16" t="s">
        <v>9</v>
      </c>
      <c r="M21" s="20">
        <v>0.626</v>
      </c>
      <c r="N21" s="19">
        <v>45233</v>
      </c>
      <c r="P21" s="21" t="s">
        <v>101</v>
      </c>
      <c r="Q21" s="24">
        <f>Q24</f>
        <v>0</v>
      </c>
      <c r="R21" s="36">
        <f t="shared" si="3"/>
        <v>0</v>
      </c>
      <c r="S21" s="21" t="s">
        <v>105</v>
      </c>
    </row>
    <row r="22" spans="1:25" s="16" customFormat="1" x14ac:dyDescent="0.25">
      <c r="A22" s="16" t="s">
        <v>44</v>
      </c>
      <c r="B22" s="16" t="s">
        <v>49</v>
      </c>
      <c r="C22" s="16" t="s">
        <v>2</v>
      </c>
      <c r="D22" s="16" t="s">
        <v>3</v>
      </c>
      <c r="E22" s="16" t="s">
        <v>45</v>
      </c>
      <c r="F22" s="16" t="s">
        <v>17</v>
      </c>
      <c r="G22" s="16" t="s">
        <v>6</v>
      </c>
      <c r="H22" s="16" t="s">
        <v>7</v>
      </c>
      <c r="I22" s="16" t="s">
        <v>50</v>
      </c>
      <c r="J22" s="16" t="s">
        <v>8</v>
      </c>
      <c r="K22" s="17">
        <v>675.32</v>
      </c>
      <c r="L22" s="16" t="s">
        <v>9</v>
      </c>
      <c r="M22" s="20">
        <v>2.8559999999999999</v>
      </c>
      <c r="N22" s="19">
        <v>45233</v>
      </c>
      <c r="P22" s="21" t="s">
        <v>101</v>
      </c>
      <c r="Q22" s="25">
        <f>Q25</f>
        <v>-0.53857142857142859</v>
      </c>
      <c r="R22" s="36">
        <f t="shared" si="3"/>
        <v>-363.70805714285717</v>
      </c>
      <c r="S22" s="21" t="s">
        <v>105</v>
      </c>
    </row>
    <row r="23" spans="1:25" s="16" customFormat="1" x14ac:dyDescent="0.25">
      <c r="A23" s="16" t="s">
        <v>44</v>
      </c>
      <c r="B23" s="16" t="s">
        <v>19</v>
      </c>
      <c r="C23" s="16" t="s">
        <v>2</v>
      </c>
      <c r="D23" s="16" t="s">
        <v>3</v>
      </c>
      <c r="E23" s="16" t="s">
        <v>45</v>
      </c>
      <c r="F23" s="16" t="s">
        <v>20</v>
      </c>
      <c r="G23" s="16" t="s">
        <v>6</v>
      </c>
      <c r="H23" s="16" t="s">
        <v>7</v>
      </c>
      <c r="I23" s="16" t="s">
        <v>3</v>
      </c>
      <c r="J23" s="16" t="s">
        <v>8</v>
      </c>
      <c r="K23" s="17">
        <v>215.28</v>
      </c>
      <c r="L23" s="16" t="s">
        <v>9</v>
      </c>
      <c r="M23" s="18">
        <v>2372</v>
      </c>
      <c r="N23" s="19">
        <v>45233</v>
      </c>
      <c r="P23" s="21" t="s">
        <v>101</v>
      </c>
      <c r="Q23" s="25">
        <f>Q25</f>
        <v>-0.53857142857142859</v>
      </c>
      <c r="R23" s="36">
        <f t="shared" si="3"/>
        <v>-115.94365714285715</v>
      </c>
      <c r="S23" s="21" t="s">
        <v>122</v>
      </c>
    </row>
    <row r="24" spans="1:25" s="12" customFormat="1" x14ac:dyDescent="0.25">
      <c r="A24" s="12" t="s">
        <v>44</v>
      </c>
      <c r="B24" s="12" t="s">
        <v>21</v>
      </c>
      <c r="C24" s="12" t="s">
        <v>2</v>
      </c>
      <c r="D24" s="12" t="s">
        <v>3</v>
      </c>
      <c r="E24" s="12" t="s">
        <v>45</v>
      </c>
      <c r="F24" s="12" t="s">
        <v>22</v>
      </c>
      <c r="G24" s="12" t="s">
        <v>6</v>
      </c>
      <c r="H24" s="12" t="s">
        <v>7</v>
      </c>
      <c r="I24" s="12" t="s">
        <v>51</v>
      </c>
      <c r="J24" s="12" t="s">
        <v>8</v>
      </c>
      <c r="K24" s="13">
        <v>140.6</v>
      </c>
      <c r="L24" s="12" t="s">
        <v>9</v>
      </c>
      <c r="M24" s="14">
        <v>20</v>
      </c>
      <c r="N24" s="15">
        <v>45233</v>
      </c>
      <c r="O24" s="12">
        <v>4</v>
      </c>
      <c r="P24" s="22" t="s">
        <v>34</v>
      </c>
      <c r="Q24" s="28">
        <f>0</f>
        <v>0</v>
      </c>
      <c r="R24" s="28"/>
      <c r="S24" s="22" t="s">
        <v>114</v>
      </c>
      <c r="X24" s="29">
        <f>M30/-M25</f>
        <v>1</v>
      </c>
      <c r="Y24" s="22" t="s">
        <v>115</v>
      </c>
    </row>
    <row r="25" spans="1:25" s="12" customFormat="1" x14ac:dyDescent="0.25">
      <c r="A25" s="12" t="s">
        <v>44</v>
      </c>
      <c r="B25" s="12" t="s">
        <v>24</v>
      </c>
      <c r="C25" s="12" t="s">
        <v>2</v>
      </c>
      <c r="D25" s="12" t="s">
        <v>3</v>
      </c>
      <c r="E25" s="12" t="s">
        <v>45</v>
      </c>
      <c r="F25" s="12" t="s">
        <v>25</v>
      </c>
      <c r="G25" s="12" t="s">
        <v>6</v>
      </c>
      <c r="H25" s="12" t="s">
        <v>7</v>
      </c>
      <c r="I25" s="12" t="s">
        <v>52</v>
      </c>
      <c r="J25" s="12" t="s">
        <v>8</v>
      </c>
      <c r="K25" s="13">
        <v>2395.7199999999998</v>
      </c>
      <c r="L25" s="12" t="s">
        <v>9</v>
      </c>
      <c r="M25" s="14">
        <v>2372</v>
      </c>
      <c r="N25" s="15">
        <v>45233</v>
      </c>
      <c r="O25" s="12">
        <v>4</v>
      </c>
      <c r="P25" s="22" t="s">
        <v>34</v>
      </c>
      <c r="Q25" s="28">
        <f>M25/M30*Q30</f>
        <v>-0.53857142857142859</v>
      </c>
      <c r="R25" s="28"/>
      <c r="S25" s="22" t="s">
        <v>113</v>
      </c>
    </row>
    <row r="26" spans="1:25" s="16" customFormat="1" x14ac:dyDescent="0.25">
      <c r="A26" s="16" t="s">
        <v>44</v>
      </c>
      <c r="B26" s="16" t="s">
        <v>27</v>
      </c>
      <c r="C26" s="16" t="s">
        <v>2</v>
      </c>
      <c r="D26" s="16" t="s">
        <v>3</v>
      </c>
      <c r="E26" s="16" t="s">
        <v>45</v>
      </c>
      <c r="F26" s="16" t="s">
        <v>28</v>
      </c>
      <c r="G26" s="16" t="s">
        <v>6</v>
      </c>
      <c r="H26" s="16" t="s">
        <v>7</v>
      </c>
      <c r="I26" s="16" t="s">
        <v>3</v>
      </c>
      <c r="J26" s="16" t="s">
        <v>8</v>
      </c>
      <c r="K26" s="17">
        <v>502.86</v>
      </c>
      <c r="L26" s="16" t="s">
        <v>9</v>
      </c>
      <c r="M26" s="18">
        <v>2372</v>
      </c>
      <c r="N26" s="19">
        <v>45233</v>
      </c>
      <c r="P26" s="21" t="s">
        <v>101</v>
      </c>
      <c r="Q26" s="25">
        <f>Q30</f>
        <v>0.53857142857142859</v>
      </c>
      <c r="R26" s="36">
        <f t="shared" ref="R26:R29" si="4">K26*Q26</f>
        <v>270.82602857142859</v>
      </c>
      <c r="S26" s="21" t="s">
        <v>122</v>
      </c>
    </row>
    <row r="27" spans="1:25" s="16" customFormat="1" x14ac:dyDescent="0.25">
      <c r="A27" s="16" t="s">
        <v>44</v>
      </c>
      <c r="B27" s="16" t="s">
        <v>29</v>
      </c>
      <c r="C27" s="16" t="s">
        <v>2</v>
      </c>
      <c r="D27" s="16" t="s">
        <v>3</v>
      </c>
      <c r="E27" s="16" t="s">
        <v>45</v>
      </c>
      <c r="F27" s="16" t="s">
        <v>30</v>
      </c>
      <c r="G27" s="16" t="s">
        <v>6</v>
      </c>
      <c r="H27" s="16" t="s">
        <v>7</v>
      </c>
      <c r="I27" s="16" t="s">
        <v>3</v>
      </c>
      <c r="J27" s="16" t="s">
        <v>8</v>
      </c>
      <c r="K27" s="17">
        <v>390.41</v>
      </c>
      <c r="L27" s="16" t="s">
        <v>9</v>
      </c>
      <c r="M27" s="20">
        <v>2.3719999999999999</v>
      </c>
      <c r="N27" s="19">
        <v>45233</v>
      </c>
      <c r="P27" s="21" t="s">
        <v>101</v>
      </c>
      <c r="Q27" s="25">
        <f>Q30</f>
        <v>0.53857142857142859</v>
      </c>
      <c r="R27" s="36">
        <f t="shared" si="4"/>
        <v>210.26367142857146</v>
      </c>
      <c r="S27" s="21" t="s">
        <v>122</v>
      </c>
    </row>
    <row r="28" spans="1:25" s="16" customFormat="1" x14ac:dyDescent="0.25">
      <c r="A28" s="16" t="s">
        <v>44</v>
      </c>
      <c r="B28" s="16" t="s">
        <v>53</v>
      </c>
      <c r="C28" s="16" t="s">
        <v>2</v>
      </c>
      <c r="D28" s="16" t="s">
        <v>3</v>
      </c>
      <c r="E28" s="16" t="s">
        <v>45</v>
      </c>
      <c r="F28" s="16" t="s">
        <v>54</v>
      </c>
      <c r="G28" s="16" t="s">
        <v>6</v>
      </c>
      <c r="H28" s="16" t="s">
        <v>7</v>
      </c>
      <c r="I28" s="16" t="s">
        <v>3</v>
      </c>
      <c r="J28" s="16" t="s">
        <v>8</v>
      </c>
      <c r="K28" s="17">
        <v>130.49</v>
      </c>
      <c r="L28" s="16" t="s">
        <v>9</v>
      </c>
      <c r="M28" s="20">
        <v>237.2</v>
      </c>
      <c r="N28" s="19">
        <v>45233</v>
      </c>
      <c r="P28" s="21" t="s">
        <v>101</v>
      </c>
      <c r="Q28" s="25">
        <f>Q30</f>
        <v>0.53857142857142859</v>
      </c>
      <c r="R28" s="36">
        <f t="shared" si="4"/>
        <v>70.278185714285726</v>
      </c>
      <c r="S28" s="21" t="s">
        <v>122</v>
      </c>
    </row>
    <row r="29" spans="1:25" s="16" customFormat="1" x14ac:dyDescent="0.25">
      <c r="A29" s="16" t="s">
        <v>44</v>
      </c>
      <c r="B29" s="16" t="s">
        <v>27</v>
      </c>
      <c r="C29" s="16" t="s">
        <v>5</v>
      </c>
      <c r="D29" s="16" t="s">
        <v>3</v>
      </c>
      <c r="E29" s="16" t="s">
        <v>55</v>
      </c>
      <c r="F29" s="16" t="s">
        <v>2</v>
      </c>
      <c r="G29" s="16" t="s">
        <v>6</v>
      </c>
      <c r="H29" s="16" t="s">
        <v>7</v>
      </c>
      <c r="I29" s="16" t="s">
        <v>3</v>
      </c>
      <c r="J29" s="16" t="s">
        <v>8</v>
      </c>
      <c r="K29" s="17">
        <v>106</v>
      </c>
      <c r="L29" s="16" t="s">
        <v>9</v>
      </c>
      <c r="M29" s="18">
        <v>500</v>
      </c>
      <c r="N29" s="19">
        <v>45288</v>
      </c>
      <c r="P29" s="21" t="s">
        <v>101</v>
      </c>
      <c r="Q29" s="25">
        <f>Q30</f>
        <v>0.53857142857142859</v>
      </c>
      <c r="R29" s="36">
        <f t="shared" si="4"/>
        <v>57.088571428571427</v>
      </c>
      <c r="S29" s="21" t="s">
        <v>122</v>
      </c>
    </row>
    <row r="30" spans="1:25" s="12" customFormat="1" x14ac:dyDescent="0.25">
      <c r="A30" s="12" t="s">
        <v>44</v>
      </c>
      <c r="B30" s="12" t="s">
        <v>31</v>
      </c>
      <c r="C30" s="12" t="s">
        <v>11</v>
      </c>
      <c r="D30" s="12" t="s">
        <v>3</v>
      </c>
      <c r="E30" s="12" t="s">
        <v>45</v>
      </c>
      <c r="F30" s="12" t="s">
        <v>2</v>
      </c>
      <c r="G30" s="12" t="s">
        <v>32</v>
      </c>
      <c r="H30" s="12" t="s">
        <v>7</v>
      </c>
      <c r="I30" s="12" t="s">
        <v>56</v>
      </c>
      <c r="J30" s="12" t="s">
        <v>34</v>
      </c>
      <c r="K30" s="13">
        <v>-9701.48</v>
      </c>
      <c r="L30" s="12" t="s">
        <v>9</v>
      </c>
      <c r="M30" s="14">
        <v>-2372</v>
      </c>
      <c r="N30" s="15">
        <v>45233</v>
      </c>
      <c r="O30" s="12">
        <v>3</v>
      </c>
      <c r="P30" s="22" t="s">
        <v>34</v>
      </c>
      <c r="Q30" s="31">
        <f>-M52/M48</f>
        <v>0.53857142857142859</v>
      </c>
      <c r="R30" s="31"/>
      <c r="S30" s="22" t="s">
        <v>111</v>
      </c>
    </row>
    <row r="31" spans="1:25" s="16" customFormat="1" x14ac:dyDescent="0.25">
      <c r="A31" s="16" t="s">
        <v>57</v>
      </c>
      <c r="B31" s="16" t="s">
        <v>36</v>
      </c>
      <c r="C31" s="16" t="s">
        <v>2</v>
      </c>
      <c r="D31" s="16" t="s">
        <v>3</v>
      </c>
      <c r="E31" s="16" t="s">
        <v>58</v>
      </c>
      <c r="F31" s="16" t="s">
        <v>11</v>
      </c>
      <c r="G31" s="16" t="s">
        <v>6</v>
      </c>
      <c r="H31" s="16" t="s">
        <v>7</v>
      </c>
      <c r="I31" s="16" t="s">
        <v>3</v>
      </c>
      <c r="J31" s="16" t="s">
        <v>8</v>
      </c>
      <c r="K31" s="17">
        <v>186.28</v>
      </c>
      <c r="L31" s="16" t="s">
        <v>9</v>
      </c>
      <c r="M31" s="20">
        <v>1.2150000000000001</v>
      </c>
      <c r="N31" s="19">
        <v>45233</v>
      </c>
      <c r="P31" s="21" t="s">
        <v>101</v>
      </c>
      <c r="Q31" s="25">
        <f>Q34</f>
        <v>0.53857142857142859</v>
      </c>
      <c r="R31" s="36">
        <f t="shared" ref="R31:R33" si="5">K31*Q31</f>
        <v>100.32508571428572</v>
      </c>
      <c r="S31" s="21" t="s">
        <v>122</v>
      </c>
    </row>
    <row r="32" spans="1:25" s="16" customFormat="1" x14ac:dyDescent="0.25">
      <c r="A32" s="16" t="s">
        <v>57</v>
      </c>
      <c r="B32" s="16" t="s">
        <v>38</v>
      </c>
      <c r="C32" s="16" t="s">
        <v>2</v>
      </c>
      <c r="D32" s="16" t="s">
        <v>3</v>
      </c>
      <c r="E32" s="16" t="s">
        <v>58</v>
      </c>
      <c r="F32" s="16" t="s">
        <v>22</v>
      </c>
      <c r="G32" s="16" t="s">
        <v>6</v>
      </c>
      <c r="H32" s="16" t="s">
        <v>7</v>
      </c>
      <c r="I32" s="16" t="s">
        <v>3</v>
      </c>
      <c r="J32" s="16" t="s">
        <v>8</v>
      </c>
      <c r="K32" s="17">
        <v>174.58</v>
      </c>
      <c r="L32" s="16" t="s">
        <v>9</v>
      </c>
      <c r="M32" s="20">
        <v>1.6559999999999999</v>
      </c>
      <c r="N32" s="19">
        <v>45233</v>
      </c>
      <c r="P32" s="21" t="s">
        <v>101</v>
      </c>
      <c r="Q32" s="25">
        <f>Q34</f>
        <v>0.53857142857142859</v>
      </c>
      <c r="R32" s="36">
        <f t="shared" si="5"/>
        <v>94.023800000000008</v>
      </c>
      <c r="S32" s="21" t="s">
        <v>122</v>
      </c>
    </row>
    <row r="33" spans="1:21" s="16" customFormat="1" x14ac:dyDescent="0.25">
      <c r="A33" s="16" t="s">
        <v>57</v>
      </c>
      <c r="B33" s="16" t="s">
        <v>39</v>
      </c>
      <c r="C33" s="16" t="s">
        <v>2</v>
      </c>
      <c r="D33" s="16" t="s">
        <v>3</v>
      </c>
      <c r="E33" s="16" t="s">
        <v>58</v>
      </c>
      <c r="F33" s="16" t="s">
        <v>5</v>
      </c>
      <c r="G33" s="16" t="s">
        <v>6</v>
      </c>
      <c r="H33" s="16" t="s">
        <v>7</v>
      </c>
      <c r="I33" s="16" t="s">
        <v>3</v>
      </c>
      <c r="J33" s="16" t="s">
        <v>8</v>
      </c>
      <c r="K33" s="17">
        <v>743.61</v>
      </c>
      <c r="L33" s="16" t="s">
        <v>9</v>
      </c>
      <c r="M33" s="18">
        <v>2372</v>
      </c>
      <c r="N33" s="19">
        <v>45233</v>
      </c>
      <c r="P33" s="21" t="s">
        <v>101</v>
      </c>
      <c r="Q33" s="25">
        <f>Q34</f>
        <v>0.53857142857142859</v>
      </c>
      <c r="R33" s="36">
        <f t="shared" si="5"/>
        <v>400.4871</v>
      </c>
      <c r="S33" s="21" t="s">
        <v>122</v>
      </c>
    </row>
    <row r="34" spans="1:21" s="12" customFormat="1" x14ac:dyDescent="0.25">
      <c r="A34" s="12" t="s">
        <v>57</v>
      </c>
      <c r="B34" s="12" t="s">
        <v>24</v>
      </c>
      <c r="C34" s="12" t="s">
        <v>11</v>
      </c>
      <c r="D34" s="12" t="s">
        <v>3</v>
      </c>
      <c r="E34" s="12" t="s">
        <v>58</v>
      </c>
      <c r="F34" s="12" t="s">
        <v>2</v>
      </c>
      <c r="G34" s="12" t="s">
        <v>32</v>
      </c>
      <c r="H34" s="12" t="s">
        <v>7</v>
      </c>
      <c r="I34" s="12" t="s">
        <v>52</v>
      </c>
      <c r="J34" s="12" t="s">
        <v>34</v>
      </c>
      <c r="K34" s="13">
        <v>-2395.7199999999998</v>
      </c>
      <c r="L34" s="12" t="s">
        <v>9</v>
      </c>
      <c r="M34" s="14">
        <v>-2372</v>
      </c>
      <c r="N34" s="15">
        <v>45233</v>
      </c>
      <c r="O34" s="12">
        <v>5</v>
      </c>
      <c r="Q34" s="29">
        <f>M34/M25*Q25</f>
        <v>0.53857142857142859</v>
      </c>
      <c r="R34" s="29"/>
      <c r="S34" s="22" t="s">
        <v>106</v>
      </c>
    </row>
    <row r="35" spans="1:21" s="16" customFormat="1" x14ac:dyDescent="0.25">
      <c r="A35" s="16" t="s">
        <v>59</v>
      </c>
      <c r="B35" s="21" t="s">
        <v>41</v>
      </c>
      <c r="C35" s="16" t="s">
        <v>2</v>
      </c>
      <c r="D35" s="16" t="s">
        <v>3</v>
      </c>
      <c r="E35" s="16" t="s">
        <v>60</v>
      </c>
      <c r="F35" s="16" t="s">
        <v>22</v>
      </c>
      <c r="G35" s="16" t="s">
        <v>6</v>
      </c>
      <c r="H35" s="16" t="s">
        <v>7</v>
      </c>
      <c r="I35" s="16" t="s">
        <v>61</v>
      </c>
      <c r="J35" s="16" t="s">
        <v>8</v>
      </c>
      <c r="K35" s="17">
        <v>57.26</v>
      </c>
      <c r="L35" s="16" t="s">
        <v>9</v>
      </c>
      <c r="M35" s="20">
        <v>9.0649999999999995</v>
      </c>
      <c r="N35" s="19">
        <v>45233</v>
      </c>
      <c r="P35" s="21" t="s">
        <v>101</v>
      </c>
      <c r="Q35" s="24">
        <v>0</v>
      </c>
      <c r="R35" s="36">
        <f t="shared" ref="R35:R37" si="6">K35*Q35</f>
        <v>0</v>
      </c>
      <c r="S35" s="16" t="s">
        <v>116</v>
      </c>
      <c r="U35" s="21" t="s">
        <v>117</v>
      </c>
    </row>
    <row r="36" spans="1:21" s="16" customFormat="1" x14ac:dyDescent="0.25">
      <c r="A36" s="16" t="s">
        <v>59</v>
      </c>
      <c r="B36" s="16" t="s">
        <v>41</v>
      </c>
      <c r="C36" s="16" t="s">
        <v>2</v>
      </c>
      <c r="D36" s="16" t="s">
        <v>3</v>
      </c>
      <c r="E36" s="16" t="s">
        <v>60</v>
      </c>
      <c r="F36" s="16" t="s">
        <v>11</v>
      </c>
      <c r="G36" s="16" t="s">
        <v>6</v>
      </c>
      <c r="H36" s="16" t="s">
        <v>7</v>
      </c>
      <c r="I36" s="16" t="s">
        <v>62</v>
      </c>
      <c r="J36" s="16" t="s">
        <v>8</v>
      </c>
      <c r="K36" s="17">
        <v>5.91</v>
      </c>
      <c r="L36" s="16" t="s">
        <v>9</v>
      </c>
      <c r="M36" s="20">
        <v>0.93500000000000005</v>
      </c>
      <c r="N36" s="19">
        <v>45233</v>
      </c>
      <c r="P36" s="21" t="s">
        <v>101</v>
      </c>
      <c r="Q36" s="24">
        <v>0</v>
      </c>
      <c r="R36" s="36">
        <f t="shared" si="6"/>
        <v>0</v>
      </c>
      <c r="S36" s="16" t="s">
        <v>116</v>
      </c>
      <c r="U36" s="21" t="s">
        <v>117</v>
      </c>
    </row>
    <row r="37" spans="1:21" s="16" customFormat="1" x14ac:dyDescent="0.25">
      <c r="A37" s="16" t="s">
        <v>59</v>
      </c>
      <c r="B37" s="16" t="s">
        <v>43</v>
      </c>
      <c r="C37" s="16" t="s">
        <v>2</v>
      </c>
      <c r="D37" s="16" t="s">
        <v>3</v>
      </c>
      <c r="E37" s="16" t="s">
        <v>60</v>
      </c>
      <c r="F37" s="16" t="s">
        <v>5</v>
      </c>
      <c r="G37" s="16" t="s">
        <v>6</v>
      </c>
      <c r="H37" s="16" t="s">
        <v>7</v>
      </c>
      <c r="I37" s="16" t="s">
        <v>3</v>
      </c>
      <c r="J37" s="16" t="s">
        <v>8</v>
      </c>
      <c r="K37" s="17">
        <v>24.39</v>
      </c>
      <c r="L37" s="16" t="s">
        <v>9</v>
      </c>
      <c r="M37" s="18">
        <v>10</v>
      </c>
      <c r="N37" s="19">
        <v>45233</v>
      </c>
      <c r="P37" s="21" t="s">
        <v>101</v>
      </c>
      <c r="Q37" s="24">
        <v>0</v>
      </c>
      <c r="R37" s="36">
        <f t="shared" si="6"/>
        <v>0</v>
      </c>
      <c r="S37" s="16" t="s">
        <v>116</v>
      </c>
      <c r="U37" s="21" t="s">
        <v>117</v>
      </c>
    </row>
    <row r="38" spans="1:21" s="12" customFormat="1" x14ac:dyDescent="0.25">
      <c r="A38" s="12" t="s">
        <v>59</v>
      </c>
      <c r="B38" s="12" t="s">
        <v>21</v>
      </c>
      <c r="C38" s="12" t="s">
        <v>11</v>
      </c>
      <c r="D38" s="12" t="s">
        <v>3</v>
      </c>
      <c r="E38" s="12" t="s">
        <v>60</v>
      </c>
      <c r="F38" s="12" t="s">
        <v>2</v>
      </c>
      <c r="G38" s="12" t="s">
        <v>32</v>
      </c>
      <c r="H38" s="12" t="s">
        <v>7</v>
      </c>
      <c r="I38" s="12" t="s">
        <v>51</v>
      </c>
      <c r="J38" s="12" t="s">
        <v>34</v>
      </c>
      <c r="K38" s="13">
        <v>-140.6</v>
      </c>
      <c r="L38" s="12" t="s">
        <v>9</v>
      </c>
      <c r="M38" s="14">
        <v>-20</v>
      </c>
      <c r="N38" s="15">
        <v>45233</v>
      </c>
      <c r="O38" s="12">
        <v>5</v>
      </c>
      <c r="Q38" s="33">
        <v>0</v>
      </c>
      <c r="R38" s="33"/>
      <c r="S38" s="22" t="s">
        <v>116</v>
      </c>
    </row>
    <row r="39" spans="1:21" s="12" customFormat="1" x14ac:dyDescent="0.25">
      <c r="A39" s="12" t="s">
        <v>63</v>
      </c>
      <c r="B39" s="12" t="s">
        <v>64</v>
      </c>
      <c r="C39" s="12" t="s">
        <v>2</v>
      </c>
      <c r="D39" s="12" t="s">
        <v>3</v>
      </c>
      <c r="E39" s="12" t="s">
        <v>65</v>
      </c>
      <c r="F39" s="12" t="s">
        <v>5</v>
      </c>
      <c r="G39" s="12" t="s">
        <v>6</v>
      </c>
      <c r="H39" s="12" t="s">
        <v>7</v>
      </c>
      <c r="I39" s="12" t="s">
        <v>66</v>
      </c>
      <c r="J39" s="12" t="s">
        <v>8</v>
      </c>
      <c r="K39" s="13">
        <v>14770</v>
      </c>
      <c r="L39" s="12" t="s">
        <v>9</v>
      </c>
      <c r="M39" s="14">
        <v>1400</v>
      </c>
      <c r="N39" s="15">
        <v>45265</v>
      </c>
      <c r="O39" s="12">
        <v>1</v>
      </c>
      <c r="P39" s="22" t="s">
        <v>34</v>
      </c>
      <c r="Q39" s="22"/>
      <c r="R39" s="22"/>
      <c r="S39" s="22" t="s">
        <v>108</v>
      </c>
    </row>
    <row r="40" spans="1:21" s="16" customFormat="1" x14ac:dyDescent="0.25">
      <c r="A40" s="16" t="s">
        <v>63</v>
      </c>
      <c r="B40" s="16" t="s">
        <v>67</v>
      </c>
      <c r="C40" s="16" t="s">
        <v>2</v>
      </c>
      <c r="D40" s="16" t="s">
        <v>3</v>
      </c>
      <c r="E40" s="16" t="s">
        <v>65</v>
      </c>
      <c r="F40" s="16" t="s">
        <v>14</v>
      </c>
      <c r="G40" s="16" t="s">
        <v>6</v>
      </c>
      <c r="H40" s="16" t="s">
        <v>7</v>
      </c>
      <c r="I40" s="16" t="s">
        <v>3</v>
      </c>
      <c r="J40" s="16" t="s">
        <v>8</v>
      </c>
      <c r="K40" s="17">
        <v>55</v>
      </c>
      <c r="L40" s="16" t="s">
        <v>9</v>
      </c>
      <c r="M40" s="18">
        <v>20</v>
      </c>
      <c r="N40" s="19">
        <v>45265</v>
      </c>
      <c r="P40" s="21" t="s">
        <v>101</v>
      </c>
      <c r="Q40" s="25">
        <v>1</v>
      </c>
      <c r="R40" s="36">
        <f t="shared" ref="R40:R47" si="7">K40*Q40</f>
        <v>55</v>
      </c>
      <c r="S40" s="21" t="s">
        <v>110</v>
      </c>
    </row>
    <row r="41" spans="1:21" s="16" customFormat="1" x14ac:dyDescent="0.25">
      <c r="A41" s="16" t="s">
        <v>63</v>
      </c>
      <c r="B41" s="16" t="s">
        <v>68</v>
      </c>
      <c r="C41" s="16" t="s">
        <v>2</v>
      </c>
      <c r="D41" s="16" t="s">
        <v>3</v>
      </c>
      <c r="E41" s="16" t="s">
        <v>65</v>
      </c>
      <c r="F41" s="16" t="s">
        <v>11</v>
      </c>
      <c r="G41" s="16" t="s">
        <v>6</v>
      </c>
      <c r="H41" s="16" t="s">
        <v>7</v>
      </c>
      <c r="I41" s="16" t="s">
        <v>3</v>
      </c>
      <c r="J41" s="16" t="s">
        <v>8</v>
      </c>
      <c r="K41" s="17">
        <v>72.81</v>
      </c>
      <c r="L41" s="16" t="s">
        <v>9</v>
      </c>
      <c r="M41" s="18">
        <v>140</v>
      </c>
      <c r="N41" s="19">
        <v>45265</v>
      </c>
      <c r="P41" s="21" t="s">
        <v>101</v>
      </c>
      <c r="Q41" s="25">
        <v>1</v>
      </c>
      <c r="R41" s="36">
        <f t="shared" si="7"/>
        <v>72.81</v>
      </c>
      <c r="S41" s="21" t="s">
        <v>110</v>
      </c>
    </row>
    <row r="42" spans="1:21" s="16" customFormat="1" x14ac:dyDescent="0.25">
      <c r="A42" s="16" t="s">
        <v>63</v>
      </c>
      <c r="B42" s="16" t="s">
        <v>69</v>
      </c>
      <c r="C42" s="16" t="s">
        <v>2</v>
      </c>
      <c r="D42" s="16" t="s">
        <v>3</v>
      </c>
      <c r="E42" s="16" t="s">
        <v>65</v>
      </c>
      <c r="F42" s="16" t="s">
        <v>30</v>
      </c>
      <c r="G42" s="16" t="s">
        <v>6</v>
      </c>
      <c r="H42" s="16" t="s">
        <v>7</v>
      </c>
      <c r="I42" s="16" t="s">
        <v>3</v>
      </c>
      <c r="J42" s="16" t="s">
        <v>8</v>
      </c>
      <c r="K42" s="17">
        <v>73.900000000000006</v>
      </c>
      <c r="L42" s="16" t="s">
        <v>9</v>
      </c>
      <c r="M42" s="18">
        <v>10</v>
      </c>
      <c r="N42" s="19">
        <v>45265</v>
      </c>
      <c r="P42" s="21" t="s">
        <v>101</v>
      </c>
      <c r="Q42" s="25">
        <v>1</v>
      </c>
      <c r="R42" s="36">
        <f t="shared" si="7"/>
        <v>73.900000000000006</v>
      </c>
      <c r="S42" s="21" t="s">
        <v>110</v>
      </c>
    </row>
    <row r="43" spans="1:21" s="16" customFormat="1" x14ac:dyDescent="0.25">
      <c r="A43" s="16" t="s">
        <v>63</v>
      </c>
      <c r="B43" s="16" t="s">
        <v>70</v>
      </c>
      <c r="C43" s="16" t="s">
        <v>2</v>
      </c>
      <c r="D43" s="16" t="s">
        <v>3</v>
      </c>
      <c r="E43" s="16" t="s">
        <v>65</v>
      </c>
      <c r="F43" s="16" t="s">
        <v>25</v>
      </c>
      <c r="G43" s="16" t="s">
        <v>6</v>
      </c>
      <c r="H43" s="16" t="s">
        <v>7</v>
      </c>
      <c r="I43" s="16" t="s">
        <v>3</v>
      </c>
      <c r="J43" s="16" t="s">
        <v>8</v>
      </c>
      <c r="K43" s="17">
        <v>10.9</v>
      </c>
      <c r="L43" s="16" t="s">
        <v>9</v>
      </c>
      <c r="M43" s="18">
        <v>15</v>
      </c>
      <c r="N43" s="19">
        <v>45265</v>
      </c>
      <c r="P43" s="21" t="s">
        <v>101</v>
      </c>
      <c r="Q43" s="25">
        <v>1</v>
      </c>
      <c r="R43" s="36">
        <f t="shared" si="7"/>
        <v>10.9</v>
      </c>
      <c r="S43" s="21" t="s">
        <v>110</v>
      </c>
    </row>
    <row r="44" spans="1:21" s="16" customFormat="1" x14ac:dyDescent="0.25">
      <c r="A44" s="16" t="s">
        <v>63</v>
      </c>
      <c r="B44" s="16" t="s">
        <v>71</v>
      </c>
      <c r="C44" s="16" t="s">
        <v>2</v>
      </c>
      <c r="D44" s="16" t="s">
        <v>3</v>
      </c>
      <c r="E44" s="16" t="s">
        <v>72</v>
      </c>
      <c r="F44" s="16" t="s">
        <v>2</v>
      </c>
      <c r="G44" s="16" t="s">
        <v>6</v>
      </c>
      <c r="H44" s="16" t="s">
        <v>7</v>
      </c>
      <c r="I44" s="16" t="s">
        <v>3</v>
      </c>
      <c r="J44" s="16" t="s">
        <v>8</v>
      </c>
      <c r="K44" s="17">
        <v>130</v>
      </c>
      <c r="L44" s="16" t="s">
        <v>9</v>
      </c>
      <c r="M44" s="18">
        <v>5</v>
      </c>
      <c r="N44" s="19">
        <v>45265</v>
      </c>
      <c r="P44" s="21" t="s">
        <v>101</v>
      </c>
      <c r="Q44" s="25">
        <v>1</v>
      </c>
      <c r="R44" s="36">
        <f t="shared" si="7"/>
        <v>130</v>
      </c>
      <c r="S44" s="21" t="s">
        <v>110</v>
      </c>
    </row>
    <row r="45" spans="1:21" s="16" customFormat="1" x14ac:dyDescent="0.25">
      <c r="A45" s="16" t="s">
        <v>63</v>
      </c>
      <c r="B45" s="16" t="s">
        <v>73</v>
      </c>
      <c r="C45" s="16" t="s">
        <v>2</v>
      </c>
      <c r="D45" s="16" t="s">
        <v>3</v>
      </c>
      <c r="E45" s="16" t="s">
        <v>65</v>
      </c>
      <c r="F45" s="16" t="s">
        <v>17</v>
      </c>
      <c r="G45" s="16" t="s">
        <v>6</v>
      </c>
      <c r="H45" s="16" t="s">
        <v>7</v>
      </c>
      <c r="I45" s="16" t="s">
        <v>3</v>
      </c>
      <c r="J45" s="16" t="s">
        <v>8</v>
      </c>
      <c r="K45" s="17">
        <v>23</v>
      </c>
      <c r="L45" s="16" t="s">
        <v>9</v>
      </c>
      <c r="M45" s="18">
        <v>10</v>
      </c>
      <c r="N45" s="19">
        <v>45265</v>
      </c>
      <c r="P45" s="21" t="s">
        <v>101</v>
      </c>
      <c r="Q45" s="25">
        <v>1</v>
      </c>
      <c r="R45" s="36">
        <f t="shared" si="7"/>
        <v>23</v>
      </c>
      <c r="S45" s="21" t="s">
        <v>110</v>
      </c>
    </row>
    <row r="46" spans="1:21" s="16" customFormat="1" x14ac:dyDescent="0.25">
      <c r="A46" s="16" t="s">
        <v>63</v>
      </c>
      <c r="B46" s="16" t="s">
        <v>74</v>
      </c>
      <c r="C46" s="16" t="s">
        <v>2</v>
      </c>
      <c r="D46" s="16" t="s">
        <v>3</v>
      </c>
      <c r="E46" s="16" t="s">
        <v>65</v>
      </c>
      <c r="F46" s="16" t="s">
        <v>22</v>
      </c>
      <c r="G46" s="16" t="s">
        <v>6</v>
      </c>
      <c r="H46" s="16" t="s">
        <v>7</v>
      </c>
      <c r="I46" s="16" t="s">
        <v>3</v>
      </c>
      <c r="J46" s="16" t="s">
        <v>8</v>
      </c>
      <c r="K46" s="17">
        <v>2.0299999999999998</v>
      </c>
      <c r="L46" s="16" t="s">
        <v>9</v>
      </c>
      <c r="M46" s="18">
        <v>70</v>
      </c>
      <c r="N46" s="19">
        <v>45265</v>
      </c>
      <c r="P46" s="21" t="s">
        <v>101</v>
      </c>
      <c r="Q46" s="25">
        <v>1</v>
      </c>
      <c r="R46" s="36">
        <f t="shared" si="7"/>
        <v>2.0299999999999998</v>
      </c>
      <c r="S46" s="21" t="s">
        <v>110</v>
      </c>
    </row>
    <row r="47" spans="1:21" s="16" customFormat="1" x14ac:dyDescent="0.25">
      <c r="A47" s="16" t="s">
        <v>63</v>
      </c>
      <c r="B47" s="16" t="s">
        <v>75</v>
      </c>
      <c r="C47" s="16" t="s">
        <v>2</v>
      </c>
      <c r="D47" s="16" t="s">
        <v>3</v>
      </c>
      <c r="E47" s="16" t="s">
        <v>65</v>
      </c>
      <c r="F47" s="16" t="s">
        <v>20</v>
      </c>
      <c r="G47" s="16" t="s">
        <v>6</v>
      </c>
      <c r="H47" s="16" t="s">
        <v>7</v>
      </c>
      <c r="I47" s="16" t="s">
        <v>3</v>
      </c>
      <c r="J47" s="16" t="s">
        <v>8</v>
      </c>
      <c r="K47" s="17">
        <v>13.45</v>
      </c>
      <c r="L47" s="16" t="s">
        <v>9</v>
      </c>
      <c r="M47" s="20">
        <v>8.3000000000000004E-2</v>
      </c>
      <c r="N47" s="19">
        <v>45265</v>
      </c>
      <c r="P47" s="21" t="s">
        <v>101</v>
      </c>
      <c r="Q47" s="25">
        <v>1</v>
      </c>
      <c r="R47" s="36">
        <f t="shared" si="7"/>
        <v>13.45</v>
      </c>
      <c r="S47" s="21" t="s">
        <v>110</v>
      </c>
    </row>
    <row r="48" spans="1:21" s="3" customFormat="1" x14ac:dyDescent="0.25">
      <c r="A48" s="3" t="s">
        <v>63</v>
      </c>
      <c r="B48" s="3" t="s">
        <v>76</v>
      </c>
      <c r="C48" s="3" t="s">
        <v>11</v>
      </c>
      <c r="D48" s="3" t="s">
        <v>3</v>
      </c>
      <c r="E48" s="3" t="s">
        <v>65</v>
      </c>
      <c r="F48" s="3" t="s">
        <v>2</v>
      </c>
      <c r="G48" s="3" t="s">
        <v>32</v>
      </c>
      <c r="H48" s="3" t="s">
        <v>7</v>
      </c>
      <c r="I48" s="3" t="s">
        <v>77</v>
      </c>
      <c r="J48" s="3" t="s">
        <v>34</v>
      </c>
      <c r="K48" s="4">
        <v>-15204</v>
      </c>
      <c r="L48" s="3" t="s">
        <v>9</v>
      </c>
      <c r="M48" s="5">
        <v>-1400</v>
      </c>
      <c r="N48" s="6">
        <v>45265</v>
      </c>
      <c r="O48" s="3">
        <v>0</v>
      </c>
      <c r="P48" s="7" t="s">
        <v>100</v>
      </c>
      <c r="Q48" s="7"/>
      <c r="R48" s="38">
        <f>SUM(R2:R47)+SUM(R49:R55)</f>
        <v>7697.4482285714284</v>
      </c>
      <c r="S48" s="7" t="s">
        <v>107</v>
      </c>
    </row>
    <row r="49" spans="1:19" s="16" customFormat="1" x14ac:dyDescent="0.25">
      <c r="A49" s="16" t="s">
        <v>78</v>
      </c>
      <c r="B49" s="16" t="s">
        <v>79</v>
      </c>
      <c r="C49" s="16" t="s">
        <v>2</v>
      </c>
      <c r="D49" s="16" t="s">
        <v>3</v>
      </c>
      <c r="E49" s="16" t="s">
        <v>80</v>
      </c>
      <c r="F49" s="16" t="s">
        <v>22</v>
      </c>
      <c r="G49" s="16" t="s">
        <v>6</v>
      </c>
      <c r="H49" s="16" t="s">
        <v>7</v>
      </c>
      <c r="I49" s="16" t="s">
        <v>3</v>
      </c>
      <c r="J49" s="16" t="s">
        <v>8</v>
      </c>
      <c r="K49" s="17">
        <v>44.18</v>
      </c>
      <c r="L49" s="16" t="s">
        <v>9</v>
      </c>
      <c r="M49" s="20">
        <v>4.2</v>
      </c>
      <c r="N49" s="19">
        <v>45265</v>
      </c>
      <c r="P49" s="21" t="s">
        <v>101</v>
      </c>
      <c r="Q49" s="24">
        <f>M48/M55</f>
        <v>1</v>
      </c>
      <c r="R49" s="36">
        <f t="shared" ref="R49:R50" si="8">K49*Q49</f>
        <v>44.18</v>
      </c>
      <c r="S49" s="21" t="s">
        <v>109</v>
      </c>
    </row>
    <row r="50" spans="1:19" s="16" customFormat="1" x14ac:dyDescent="0.25">
      <c r="A50" s="16" t="s">
        <v>78</v>
      </c>
      <c r="B50" s="16" t="s">
        <v>81</v>
      </c>
      <c r="C50" s="16" t="s">
        <v>2</v>
      </c>
      <c r="D50" s="16" t="s">
        <v>3</v>
      </c>
      <c r="E50" s="16" t="s">
        <v>80</v>
      </c>
      <c r="F50" s="16" t="s">
        <v>5</v>
      </c>
      <c r="G50" s="16" t="s">
        <v>6</v>
      </c>
      <c r="H50" s="16" t="s">
        <v>7</v>
      </c>
      <c r="I50" s="16" t="s">
        <v>3</v>
      </c>
      <c r="J50" s="16" t="s">
        <v>8</v>
      </c>
      <c r="K50" s="17">
        <v>226.02</v>
      </c>
      <c r="L50" s="16" t="s">
        <v>9</v>
      </c>
      <c r="M50" s="18">
        <v>1400</v>
      </c>
      <c r="N50" s="19">
        <v>45265</v>
      </c>
      <c r="P50" s="21" t="s">
        <v>101</v>
      </c>
      <c r="Q50" s="24">
        <f>M48/M55</f>
        <v>1</v>
      </c>
      <c r="R50" s="36">
        <f t="shared" si="8"/>
        <v>226.02</v>
      </c>
      <c r="S50" s="21" t="s">
        <v>109</v>
      </c>
    </row>
    <row r="51" spans="1:19" s="12" customFormat="1" x14ac:dyDescent="0.25">
      <c r="A51" s="12" t="s">
        <v>78</v>
      </c>
      <c r="B51" s="12" t="s">
        <v>31</v>
      </c>
      <c r="C51" s="12" t="s">
        <v>2</v>
      </c>
      <c r="D51" s="12" t="s">
        <v>3</v>
      </c>
      <c r="E51" s="12" t="s">
        <v>82</v>
      </c>
      <c r="F51" s="12" t="s">
        <v>2</v>
      </c>
      <c r="G51" s="12" t="s">
        <v>6</v>
      </c>
      <c r="H51" s="12" t="s">
        <v>7</v>
      </c>
      <c r="I51" s="12" t="s">
        <v>33</v>
      </c>
      <c r="J51" s="12" t="s">
        <v>8</v>
      </c>
      <c r="K51" s="13">
        <v>2642.14</v>
      </c>
      <c r="L51" s="12" t="s">
        <v>9</v>
      </c>
      <c r="M51" s="14">
        <v>646</v>
      </c>
      <c r="N51" s="15">
        <v>45265</v>
      </c>
      <c r="O51" s="12">
        <v>2</v>
      </c>
      <c r="P51" s="22" t="s">
        <v>34</v>
      </c>
      <c r="Q51" s="31">
        <f>-M51/M48</f>
        <v>0.46142857142857141</v>
      </c>
      <c r="R51" s="31"/>
      <c r="S51" s="22" t="s">
        <v>113</v>
      </c>
    </row>
    <row r="52" spans="1:19" s="12" customFormat="1" x14ac:dyDescent="0.25">
      <c r="A52" s="12" t="s">
        <v>78</v>
      </c>
      <c r="B52" s="12" t="s">
        <v>31</v>
      </c>
      <c r="C52" s="12" t="s">
        <v>2</v>
      </c>
      <c r="D52" s="12" t="s">
        <v>3</v>
      </c>
      <c r="E52" s="12" t="s">
        <v>82</v>
      </c>
      <c r="F52" s="12" t="s">
        <v>5</v>
      </c>
      <c r="G52" s="12" t="s">
        <v>6</v>
      </c>
      <c r="H52" s="12" t="s">
        <v>7</v>
      </c>
      <c r="I52" s="12" t="s">
        <v>56</v>
      </c>
      <c r="J52" s="12" t="s">
        <v>8</v>
      </c>
      <c r="K52" s="13">
        <v>3083.86</v>
      </c>
      <c r="L52" s="12" t="s">
        <v>9</v>
      </c>
      <c r="M52" s="14">
        <v>754</v>
      </c>
      <c r="N52" s="15">
        <v>45265</v>
      </c>
      <c r="O52" s="12">
        <v>2</v>
      </c>
      <c r="P52" s="22" t="s">
        <v>34</v>
      </c>
      <c r="Q52" s="31">
        <f>M52/-M48</f>
        <v>0.53857142857142859</v>
      </c>
      <c r="R52" s="31"/>
      <c r="S52" s="22" t="s">
        <v>113</v>
      </c>
    </row>
    <row r="53" spans="1:19" s="16" customFormat="1" x14ac:dyDescent="0.25">
      <c r="A53" s="16" t="s">
        <v>78</v>
      </c>
      <c r="B53" s="16" t="s">
        <v>83</v>
      </c>
      <c r="C53" s="16" t="s">
        <v>2</v>
      </c>
      <c r="D53" s="16" t="s">
        <v>3</v>
      </c>
      <c r="E53" s="16" t="s">
        <v>80</v>
      </c>
      <c r="F53" s="16" t="s">
        <v>11</v>
      </c>
      <c r="G53" s="16" t="s">
        <v>6</v>
      </c>
      <c r="H53" s="16" t="s">
        <v>7</v>
      </c>
      <c r="I53" s="16" t="s">
        <v>3</v>
      </c>
      <c r="J53" s="16" t="s">
        <v>8</v>
      </c>
      <c r="K53" s="17">
        <v>0.2</v>
      </c>
      <c r="L53" s="16" t="s">
        <v>9</v>
      </c>
      <c r="M53" s="20">
        <v>0.14000000000000001</v>
      </c>
      <c r="N53" s="19">
        <v>45265</v>
      </c>
      <c r="P53" s="21" t="s">
        <v>101</v>
      </c>
      <c r="Q53" s="24">
        <f>M48/M55</f>
        <v>1</v>
      </c>
      <c r="R53" s="36">
        <f>K53*Q53</f>
        <v>0.2</v>
      </c>
      <c r="S53" s="21" t="s">
        <v>109</v>
      </c>
    </row>
    <row r="54" spans="1:19" s="16" customFormat="1" x14ac:dyDescent="0.25">
      <c r="A54" s="16" t="s">
        <v>78</v>
      </c>
      <c r="B54" s="16" t="s">
        <v>84</v>
      </c>
      <c r="C54" s="16" t="s">
        <v>5</v>
      </c>
      <c r="D54" s="16" t="s">
        <v>3</v>
      </c>
      <c r="E54" s="16" t="s">
        <v>85</v>
      </c>
      <c r="F54" s="16" t="s">
        <v>2</v>
      </c>
      <c r="G54" s="16" t="s">
        <v>6</v>
      </c>
      <c r="H54" s="16" t="s">
        <v>7</v>
      </c>
      <c r="I54" s="16" t="s">
        <v>3</v>
      </c>
      <c r="J54" s="16" t="s">
        <v>8</v>
      </c>
      <c r="K54" s="17">
        <v>8663.5300000000007</v>
      </c>
      <c r="L54" s="16" t="s">
        <v>9</v>
      </c>
      <c r="M54" s="18">
        <v>1400</v>
      </c>
      <c r="N54" s="19">
        <v>45267</v>
      </c>
      <c r="P54" s="21" t="s">
        <v>101</v>
      </c>
      <c r="Q54" s="24">
        <f>M48/M55</f>
        <v>1</v>
      </c>
      <c r="R54" s="36">
        <f>K54*Q54</f>
        <v>8663.5300000000007</v>
      </c>
      <c r="S54" s="21" t="s">
        <v>109</v>
      </c>
    </row>
    <row r="55" spans="1:19" s="12" customFormat="1" x14ac:dyDescent="0.25">
      <c r="A55" s="12" t="s">
        <v>78</v>
      </c>
      <c r="B55" s="12" t="s">
        <v>64</v>
      </c>
      <c r="C55" s="12" t="s">
        <v>11</v>
      </c>
      <c r="D55" s="12" t="s">
        <v>3</v>
      </c>
      <c r="E55" s="12" t="s">
        <v>80</v>
      </c>
      <c r="F55" s="12" t="s">
        <v>2</v>
      </c>
      <c r="G55" s="12" t="s">
        <v>32</v>
      </c>
      <c r="H55" s="12" t="s">
        <v>7</v>
      </c>
      <c r="I55" s="12" t="s">
        <v>66</v>
      </c>
      <c r="J55" s="12" t="s">
        <v>34</v>
      </c>
      <c r="K55" s="13">
        <v>-14770</v>
      </c>
      <c r="L55" s="12" t="s">
        <v>9</v>
      </c>
      <c r="M55" s="14">
        <v>-1400</v>
      </c>
      <c r="N55" s="15">
        <v>45265</v>
      </c>
      <c r="O55" s="12">
        <v>1</v>
      </c>
      <c r="P55" s="22" t="s">
        <v>34</v>
      </c>
      <c r="Q55" s="22"/>
      <c r="R55" s="22"/>
      <c r="S55" s="22" t="s">
        <v>102</v>
      </c>
    </row>
    <row r="56" spans="1:19" x14ac:dyDescent="0.25">
      <c r="S56" s="23" t="s">
        <v>103</v>
      </c>
    </row>
  </sheetData>
  <autoFilter ref="A1:Y56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2000006917 000001085309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minkon_fi</cp:lastModifiedBy>
  <cp:revision>1</cp:revision>
  <dcterms:created xsi:type="dcterms:W3CDTF">2024-04-04T13:13:42Z</dcterms:created>
  <dcterms:modified xsi:type="dcterms:W3CDTF">2024-04-05T08:03:04Z</dcterms:modified>
  <cp:category/>
</cp:coreProperties>
</file>